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Rayy\Professional Work\Dwitama Cipta Internusa\Surat Penawaran Harga\"/>
    </mc:Choice>
  </mc:AlternateContent>
  <xr:revisionPtr revIDLastSave="0" documentId="13_ncr:1_{6619E1EC-3013-4CC7-8319-77478B3972F7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heet1" sheetId="1" r:id="rId1"/>
    <sheet name="Sheet2" sheetId="3" r:id="rId2"/>
    <sheet name="Sheet3" sheetId="4" r:id="rId3"/>
  </sheets>
  <calcPr calcId="191029"/>
</workbook>
</file>

<file path=xl/calcChain.xml><?xml version="1.0" encoding="utf-8"?>
<calcChain xmlns="http://schemas.openxmlformats.org/spreadsheetml/2006/main">
  <c r="J3" i="4" l="1"/>
  <c r="J4" i="4" s="1"/>
  <c r="F3" i="4"/>
  <c r="J2" i="4"/>
  <c r="F2" i="4"/>
  <c r="F4" i="4" s="1"/>
  <c r="I8" i="3"/>
  <c r="F8" i="3"/>
  <c r="I7" i="3"/>
  <c r="F7" i="3"/>
  <c r="I6" i="3"/>
  <c r="F6" i="3"/>
  <c r="I5" i="3"/>
  <c r="F5" i="3"/>
  <c r="I4" i="3"/>
  <c r="F4" i="3"/>
  <c r="I3" i="3"/>
  <c r="F3" i="3"/>
  <c r="I2" i="3"/>
  <c r="I9" i="3" s="1"/>
  <c r="F2" i="3"/>
  <c r="F9" i="3" s="1"/>
  <c r="I3" i="1"/>
  <c r="F3" i="1"/>
  <c r="I2" i="1"/>
  <c r="I4" i="1" s="1"/>
  <c r="F2" i="1"/>
  <c r="F4" i="1" s="1"/>
  <c r="F7" i="4" l="1"/>
  <c r="F13" i="4" s="1"/>
  <c r="F6" i="4"/>
  <c r="F5" i="4"/>
  <c r="F11" i="3"/>
  <c r="F10" i="3"/>
  <c r="F12" i="3" s="1"/>
  <c r="F6" i="1"/>
  <c r="F5" i="1"/>
  <c r="F7" i="1" s="1"/>
</calcChain>
</file>

<file path=xl/sharedStrings.xml><?xml version="1.0" encoding="utf-8"?>
<sst xmlns="http://schemas.openxmlformats.org/spreadsheetml/2006/main" count="64" uniqueCount="36">
  <si>
    <t>No</t>
  </si>
  <si>
    <t>Nama Barang</t>
  </si>
  <si>
    <t>Spesifikasi</t>
  </si>
  <si>
    <t>Qty</t>
  </si>
  <si>
    <t>Harga Satuan</t>
  </si>
  <si>
    <t>Total Harga</t>
  </si>
  <si>
    <t>Modal</t>
  </si>
  <si>
    <t>Laptop</t>
  </si>
  <si>
    <t>ASUS E1404TA-VIPS1821M (MIXED BLACK) / 
ASUS E1404TA-VIPS1822M (COOL SILVER)
( WIN11+OHS+M365/INTEL N150 4C 4T/RAM 
8GB/256GB PCIE NVME M.2 SSD/14 INCH FHD )</t>
  </si>
  <si>
    <t>Total</t>
  </si>
  <si>
    <t>PPN</t>
  </si>
  <si>
    <t>PPH</t>
  </si>
  <si>
    <t>DPP</t>
  </si>
  <si>
    <t>ANDROID 10 / SNAPDRAGON 450 8C / RAM 4GB / 64GB MEMORY / 6.4 INCH HD+</t>
  </si>
  <si>
    <t>Samsung Tab</t>
  </si>
  <si>
    <t>Komputer</t>
  </si>
  <si>
    <t>ASUS AIO P440VAK INTEL CORE I3-1315 
/RAM 8GB/SSD 512GB/ W11+OHS 
/DISPLAY 23.8FHD/MOUSE + KEYBOARD</t>
  </si>
  <si>
    <t>Monitor</t>
  </si>
  <si>
    <t>LENOVO THINKVISION S22I-30 (21.5)</t>
  </si>
  <si>
    <t>Printer</t>
  </si>
  <si>
    <t>Epson L121</t>
  </si>
  <si>
    <t>Layar Infokus</t>
  </si>
  <si>
    <t>Layar Proyektor 70” (172CM x 172CM)</t>
  </si>
  <si>
    <t xml:space="preserve">AC SHARP AH-X18ZY 2 PK </t>
  </si>
  <si>
    <t>J-TECH INVERTER+JETSTREAM G9+COANDA / 2 PK 18000 BTU / 1640 WATTS / REFRIGERANT R-32</t>
  </si>
  <si>
    <t>SHARP AHX13BEY AC 1,5 PK</t>
  </si>
  <si>
    <t>J-TECH INVERTER+GARUDA WING+COANDA / 1.5 PK 12000 BTU / 1030 WATTS / REFRIGERANT R-32</t>
  </si>
  <si>
    <t>Unit</t>
  </si>
  <si>
    <t xml:space="preserve">Total Harga </t>
  </si>
  <si>
    <t>ASUS A3202WBAK-WPB385W (WHITE)
HARGA 7.800.000
(WIN11/I3-1215U/8GB/512GB PCIE NVME M.2 SSD/21.5"FHD)</t>
  </si>
  <si>
    <t xml:space="preserve">Spek Lama </t>
  </si>
  <si>
    <t>Spek Baru</t>
  </si>
  <si>
    <t>Agung</t>
  </si>
  <si>
    <t>Ongkir</t>
  </si>
  <si>
    <t>Fee Margine</t>
  </si>
  <si>
    <t>Margine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</si>
</sst>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"/>
    <numFmt numFmtId="165" formatCode="_-* #,##0_-;\-* #,##0_-;_-* &quot;-&quot;??_-;_-@"/>
  </numFmts>
  <fonts count="8">
    <font>
      <sz val="11"/>
      <color rgb="FF000000"/>
      <name val="Calibri"/>
      <scheme val="minor"/>
    </font>
    <font>
      <sz val="11"/>
      <name val="Calibri"/>
    </font>
    <font>
      <sz val="11"/>
      <name val="Calibri"/>
    </font>
    <font>
      <sz val="11"/>
      <color rgb="FFFF0000"/>
      <name val="Calibri"/>
    </font>
    <font>
      <b/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name val="Calibri"/>
      <scheme val="minor"/>
    </font>
    <font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0C0C0C"/>
        <bgColor rgb="FF0C0C0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5" fillId="0" borderId="1"/>
    <xf numFmtId="0" fontId="6" fillId="0" borderId="1"/>
  </cellStyleXfs>
  <cellXfs count="39">
    <xf numFmtId="0" fontId="0" fillId="0" borderId="0" xfId="0"/>
    <xf numFmtId="164" fontId="2" fillId="0" borderId="0" xfId="0" applyNumberFormat="1" applyFont="1"/>
    <xf numFmtId="9" fontId="2" fillId="0" borderId="0" xfId="0" applyNumberFormat="1" applyFont="1"/>
    <xf numFmtId="165" fontId="3" fillId="0" borderId="0" xfId="0" applyNumberFormat="1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165" fontId="2" fillId="0" borderId="0" xfId="0" applyNumberFormat="1" applyFont="1"/>
    <xf numFmtId="0" fontId="2" fillId="0" borderId="1" xfId="0" applyFont="1" applyBorder="1"/>
    <xf numFmtId="164" fontId="2" fillId="0" borderId="1" xfId="0" applyNumberFormat="1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1" xfId="1" applyAlignment="1">
      <alignment horizontal="center" vertical="center"/>
    </xf>
    <xf numFmtId="0" fontId="5" fillId="0" borderId="1" xfId="1" applyAlignment="1">
      <alignment vertical="center"/>
    </xf>
    <xf numFmtId="0" fontId="5" fillId="0" borderId="1" xfId="1" applyAlignment="1">
      <alignment horizontal="center"/>
    </xf>
    <xf numFmtId="0" fontId="5" fillId="0" borderId="1" xfId="1"/>
    <xf numFmtId="0" fontId="1" fillId="0" borderId="1" xfId="1" applyFont="1" applyAlignment="1">
      <alignment vertical="center"/>
    </xf>
    <xf numFmtId="164" fontId="1" fillId="0" borderId="1" xfId="1" applyNumberFormat="1" applyFont="1"/>
    <xf numFmtId="0" fontId="1" fillId="0" borderId="1" xfId="1" applyFont="1" applyAlignment="1">
      <alignment vertical="center" wrapText="1"/>
    </xf>
    <xf numFmtId="0" fontId="1" fillId="0" borderId="1" xfId="1" applyFont="1" applyAlignment="1">
      <alignment horizontal="center"/>
    </xf>
    <xf numFmtId="9" fontId="1" fillId="0" borderId="1" xfId="1" applyNumberFormat="1" applyFont="1"/>
    <xf numFmtId="165" fontId="3" fillId="0" borderId="1" xfId="1" applyNumberFormat="1" applyFont="1"/>
    <xf numFmtId="0" fontId="3" fillId="2" borderId="1" xfId="1" applyFont="1" applyFill="1"/>
    <xf numFmtId="164" fontId="3" fillId="2" borderId="1" xfId="1" applyNumberFormat="1" applyFont="1" applyFill="1"/>
    <xf numFmtId="165" fontId="1" fillId="0" borderId="1" xfId="1" applyNumberFormat="1" applyFont="1"/>
    <xf numFmtId="0" fontId="1" fillId="3" borderId="1" xfId="1" applyFont="1" applyFill="1"/>
    <xf numFmtId="164" fontId="1" fillId="3" borderId="1" xfId="1" applyNumberFormat="1" applyFont="1" applyFill="1"/>
    <xf numFmtId="0" fontId="5" fillId="0" borderId="1" xfId="1" applyAlignment="1">
      <alignment horizontal="right"/>
    </xf>
    <xf numFmtId="0" fontId="6" fillId="0" borderId="1" xfId="2"/>
    <xf numFmtId="165" fontId="7" fillId="0" borderId="1" xfId="2" applyNumberFormat="1" applyFont="1"/>
    <xf numFmtId="0" fontId="7" fillId="0" borderId="1" xfId="2" applyFont="1" applyAlignment="1">
      <alignment horizontal="center" vertical="center"/>
    </xf>
    <xf numFmtId="0" fontId="7" fillId="0" borderId="1" xfId="2" applyFont="1" applyAlignment="1">
      <alignment wrapText="1"/>
    </xf>
    <xf numFmtId="0" fontId="7" fillId="0" borderId="1" xfId="2" applyFont="1"/>
    <xf numFmtId="9" fontId="7" fillId="0" borderId="1" xfId="2" applyNumberFormat="1" applyFont="1"/>
  </cellXfs>
  <cellStyles count="3">
    <cellStyle name="Normal" xfId="0" builtinId="0"/>
    <cellStyle name="Normal 2" xfId="1" xr:uid="{935AB231-11C8-4459-8F8F-53BD468B7057}"/>
    <cellStyle name="Normal 3" xfId="2" xr:uid="{26B912F6-BCAD-4E9C-B0C5-D1F6E9E147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workbookViewId="0">
      <selection activeCell="A2" sqref="A2"/>
    </sheetView>
  </sheetViews>
  <sheetFormatPr defaultColWidth="14.42578125" defaultRowHeight="15" customHeight="1"/>
  <cols>
    <col min="1" max="1" width="3.42578125" customWidth="1"/>
    <col min="2" max="2" width="25.140625" bestFit="1" customWidth="1"/>
    <col min="3" max="3" width="46.28515625" customWidth="1"/>
    <col min="4" max="4" width="3.85546875" customWidth="1"/>
    <col min="5" max="5" width="18.28515625" customWidth="1"/>
    <col min="6" max="6" width="12.85546875" customWidth="1"/>
    <col min="7" max="7" width="22" customWidth="1"/>
    <col min="8" max="8" width="11.42578125" customWidth="1"/>
    <col min="9" max="9" width="12.85546875" customWidth="1"/>
  </cols>
  <sheetData>
    <row r="1" spans="1:9">
      <c r="A1" s="13" t="s">
        <v>0</v>
      </c>
      <c r="B1" s="14" t="s">
        <v>1</v>
      </c>
      <c r="C1" s="14" t="s">
        <v>2</v>
      </c>
      <c r="D1" s="15" t="s">
        <v>3</v>
      </c>
      <c r="E1" s="16" t="s">
        <v>4</v>
      </c>
      <c r="F1" s="16" t="s">
        <v>5</v>
      </c>
      <c r="G1" s="16"/>
      <c r="H1" s="16" t="s">
        <v>6</v>
      </c>
      <c r="I1" s="16" t="s">
        <v>5</v>
      </c>
    </row>
    <row r="2" spans="1:9" ht="30">
      <c r="A2" s="6">
        <v>1</v>
      </c>
      <c r="B2" s="4" t="s">
        <v>14</v>
      </c>
      <c r="C2" s="5" t="s">
        <v>13</v>
      </c>
      <c r="D2" s="7">
        <v>1</v>
      </c>
      <c r="E2" s="1">
        <v>8000000</v>
      </c>
      <c r="F2" s="1">
        <f t="shared" ref="F2:F3" si="0">E2*D2</f>
        <v>8000000</v>
      </c>
      <c r="H2" s="1">
        <v>3100000</v>
      </c>
      <c r="I2" s="1">
        <f t="shared" ref="I2:I3" si="1">H2*D2</f>
        <v>3100000</v>
      </c>
    </row>
    <row r="3" spans="1:9" ht="60">
      <c r="A3" s="6">
        <v>2</v>
      </c>
      <c r="B3" s="4" t="s">
        <v>7</v>
      </c>
      <c r="C3" s="5" t="s">
        <v>8</v>
      </c>
      <c r="D3" s="7">
        <v>1</v>
      </c>
      <c r="E3" s="1">
        <v>12500000</v>
      </c>
      <c r="F3" s="1">
        <f t="shared" si="0"/>
        <v>12500000</v>
      </c>
      <c r="H3" s="1">
        <v>6950000</v>
      </c>
      <c r="I3" s="1">
        <f t="shared" si="1"/>
        <v>6950000</v>
      </c>
    </row>
    <row r="4" spans="1:9">
      <c r="E4" t="s">
        <v>9</v>
      </c>
      <c r="F4" s="1">
        <f>SUM(F2:F3)</f>
        <v>20500000</v>
      </c>
      <c r="I4" s="1">
        <f>SUM(I2:I3)</f>
        <v>10050000</v>
      </c>
    </row>
    <row r="5" spans="1:9">
      <c r="E5" t="s">
        <v>10</v>
      </c>
      <c r="F5" s="1">
        <f>F4*11%</f>
        <v>2255000</v>
      </c>
    </row>
    <row r="6" spans="1:9">
      <c r="E6" t="s">
        <v>11</v>
      </c>
      <c r="F6" s="1">
        <f>F4*1.5%</f>
        <v>307500</v>
      </c>
    </row>
    <row r="7" spans="1:9">
      <c r="E7" t="s">
        <v>12</v>
      </c>
      <c r="F7" s="1">
        <f>F4-F5-F6</f>
        <v>17937500</v>
      </c>
    </row>
    <row r="8" spans="1:9" ht="14.25" customHeight="1"/>
    <row r="9" spans="1:9" ht="14.25" customHeight="1">
      <c r="F9" s="1"/>
      <c r="G9" s="2"/>
    </row>
    <row r="10" spans="1:9" ht="14.25" customHeight="1">
      <c r="F10" s="1"/>
    </row>
    <row r="11" spans="1:9" ht="14.25" customHeight="1">
      <c r="F11" s="1"/>
      <c r="I11" s="3"/>
    </row>
    <row r="12" spans="1:9" ht="14.25" customHeight="1">
      <c r="F12" s="1"/>
      <c r="G12" s="2"/>
    </row>
    <row r="13" spans="1:9" ht="14.25" customHeight="1">
      <c r="E13" s="8"/>
      <c r="F13" s="9"/>
    </row>
    <row r="14" spans="1:9" ht="14.25" customHeight="1"/>
    <row r="15" spans="1:9" ht="14.25" customHeight="1">
      <c r="F15" s="1"/>
    </row>
    <row r="16" spans="1:9" ht="14.25" customHeight="1">
      <c r="F16" s="1"/>
    </row>
    <row r="17" spans="5:6" ht="14.25" customHeight="1">
      <c r="F17" s="10"/>
    </row>
    <row r="18" spans="5:6" ht="14.25" customHeight="1">
      <c r="E18" s="11"/>
      <c r="F18" s="12"/>
    </row>
    <row r="19" spans="5:6" ht="14.25" customHeight="1"/>
    <row r="20" spans="5:6" ht="14.25" customHeight="1"/>
    <row r="21" spans="5:6" ht="14.25" customHeight="1"/>
    <row r="22" spans="5:6" ht="14.25" customHeight="1"/>
    <row r="23" spans="5:6" ht="14.25" customHeight="1"/>
    <row r="24" spans="5:6" ht="14.25" customHeight="1"/>
    <row r="25" spans="5:6" ht="14.25" customHeight="1"/>
    <row r="26" spans="5:6" ht="14.25" customHeight="1"/>
    <row r="27" spans="5:6" ht="14.25" customHeight="1"/>
    <row r="28" spans="5:6" ht="14.25" customHeight="1"/>
    <row r="29" spans="5:6" ht="14.25" customHeight="1"/>
    <row r="30" spans="5:6" ht="14.25" customHeight="1"/>
    <row r="31" spans="5:6" ht="14.25" customHeight="1"/>
    <row r="32" spans="5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D60E-CB55-477E-B59C-D8D0BA67A06F}">
  <dimension ref="A1:I102"/>
  <sheetViews>
    <sheetView workbookViewId="0">
      <selection activeCell="C14" sqref="C14"/>
    </sheetView>
  </sheetViews>
  <sheetFormatPr defaultColWidth="14.42578125" defaultRowHeight="15" customHeight="1"/>
  <cols>
    <col min="1" max="1" width="3.42578125" style="20" customWidth="1"/>
    <col min="2" max="2" width="25.140625" style="20" bestFit="1" customWidth="1"/>
    <col min="3" max="3" width="46.28515625" style="20" customWidth="1"/>
    <col min="4" max="4" width="3.85546875" style="20" customWidth="1"/>
    <col min="5" max="5" width="18.28515625" style="20" customWidth="1"/>
    <col min="6" max="6" width="12.85546875" style="20" customWidth="1"/>
    <col min="7" max="7" width="22" style="20" customWidth="1"/>
    <col min="8" max="8" width="11.42578125" style="20" customWidth="1"/>
    <col min="9" max="9" width="12.85546875" style="20" customWidth="1"/>
    <col min="10" max="16384" width="14.42578125" style="20"/>
  </cols>
  <sheetData>
    <row r="1" spans="1:9">
      <c r="A1" s="17" t="s">
        <v>0</v>
      </c>
      <c r="B1" s="18" t="s">
        <v>1</v>
      </c>
      <c r="C1" s="18" t="s">
        <v>2</v>
      </c>
      <c r="D1" s="19" t="s">
        <v>3</v>
      </c>
      <c r="E1" s="20" t="s">
        <v>4</v>
      </c>
      <c r="F1" s="20" t="s">
        <v>5</v>
      </c>
      <c r="H1" s="20" t="s">
        <v>6</v>
      </c>
      <c r="I1" s="20" t="s">
        <v>5</v>
      </c>
    </row>
    <row r="2" spans="1:9">
      <c r="A2" s="17">
        <v>1</v>
      </c>
      <c r="B2" s="18" t="s">
        <v>15</v>
      </c>
      <c r="C2" s="21" t="s">
        <v>16</v>
      </c>
      <c r="D2" s="19">
        <v>1</v>
      </c>
      <c r="E2" s="22">
        <v>17500000</v>
      </c>
      <c r="F2" s="22">
        <f t="shared" ref="F2:F8" si="0">E2*D2</f>
        <v>17500000</v>
      </c>
      <c r="H2" s="22">
        <v>9500000</v>
      </c>
      <c r="I2" s="22">
        <f t="shared" ref="I2:I8" si="1">H2*D2</f>
        <v>9500000</v>
      </c>
    </row>
    <row r="3" spans="1:9" ht="60">
      <c r="A3" s="17">
        <v>2</v>
      </c>
      <c r="B3" s="18" t="s">
        <v>7</v>
      </c>
      <c r="C3" s="23" t="s">
        <v>8</v>
      </c>
      <c r="D3" s="19">
        <v>1</v>
      </c>
      <c r="E3" s="22">
        <v>12500000</v>
      </c>
      <c r="F3" s="22">
        <f t="shared" si="0"/>
        <v>12500000</v>
      </c>
      <c r="H3" s="22">
        <v>6950000</v>
      </c>
      <c r="I3" s="22">
        <f t="shared" si="1"/>
        <v>6950000</v>
      </c>
    </row>
    <row r="4" spans="1:9">
      <c r="A4" s="17">
        <v>3</v>
      </c>
      <c r="B4" s="21" t="s">
        <v>17</v>
      </c>
      <c r="C4" s="21" t="s">
        <v>18</v>
      </c>
      <c r="D4" s="24">
        <v>2</v>
      </c>
      <c r="E4" s="22">
        <v>2400000</v>
      </c>
      <c r="F4" s="22">
        <f t="shared" si="0"/>
        <v>4800000</v>
      </c>
      <c r="H4" s="22">
        <v>1150000</v>
      </c>
      <c r="I4" s="22">
        <f t="shared" si="1"/>
        <v>2300000</v>
      </c>
    </row>
    <row r="5" spans="1:9">
      <c r="A5" s="17">
        <v>4</v>
      </c>
      <c r="B5" s="18" t="s">
        <v>19</v>
      </c>
      <c r="C5" s="18" t="s">
        <v>20</v>
      </c>
      <c r="D5" s="24">
        <v>2</v>
      </c>
      <c r="E5" s="22">
        <v>3000000</v>
      </c>
      <c r="F5" s="22">
        <f t="shared" si="0"/>
        <v>6000000</v>
      </c>
      <c r="H5" s="22">
        <v>1600000</v>
      </c>
      <c r="I5" s="22">
        <f t="shared" si="1"/>
        <v>3200000</v>
      </c>
    </row>
    <row r="6" spans="1:9">
      <c r="A6" s="17">
        <v>5</v>
      </c>
      <c r="B6" s="21" t="s">
        <v>21</v>
      </c>
      <c r="C6" s="21" t="s">
        <v>22</v>
      </c>
      <c r="D6" s="19">
        <v>1</v>
      </c>
      <c r="E6" s="22">
        <v>1850000</v>
      </c>
      <c r="F6" s="22">
        <f t="shared" si="0"/>
        <v>1850000</v>
      </c>
      <c r="H6" s="22">
        <v>475000</v>
      </c>
      <c r="I6" s="22">
        <f t="shared" si="1"/>
        <v>475000</v>
      </c>
    </row>
    <row r="7" spans="1:9" ht="30">
      <c r="A7" s="17">
        <v>6</v>
      </c>
      <c r="B7" s="21" t="s">
        <v>23</v>
      </c>
      <c r="C7" s="23" t="s">
        <v>24</v>
      </c>
      <c r="D7" s="19">
        <v>1</v>
      </c>
      <c r="E7" s="22">
        <v>14500000</v>
      </c>
      <c r="F7" s="22">
        <f t="shared" si="0"/>
        <v>14500000</v>
      </c>
      <c r="H7" s="22">
        <v>6839000</v>
      </c>
      <c r="I7" s="22">
        <f t="shared" si="1"/>
        <v>6839000</v>
      </c>
    </row>
    <row r="8" spans="1:9" ht="30">
      <c r="A8" s="17">
        <v>7</v>
      </c>
      <c r="B8" s="21" t="s">
        <v>25</v>
      </c>
      <c r="C8" s="23" t="s">
        <v>26</v>
      </c>
      <c r="D8" s="19">
        <v>1</v>
      </c>
      <c r="E8" s="22">
        <v>12750000</v>
      </c>
      <c r="F8" s="22">
        <f t="shared" si="0"/>
        <v>12750000</v>
      </c>
      <c r="H8" s="22">
        <v>4039000</v>
      </c>
      <c r="I8" s="22">
        <f t="shared" si="1"/>
        <v>4039000</v>
      </c>
    </row>
    <row r="9" spans="1:9">
      <c r="E9" s="20" t="s">
        <v>9</v>
      </c>
      <c r="F9" s="22">
        <f>SUM(F2:F8)</f>
        <v>69900000</v>
      </c>
      <c r="I9" s="22">
        <f>SUM(I2:I8)</f>
        <v>33303000</v>
      </c>
    </row>
    <row r="10" spans="1:9">
      <c r="E10" s="20" t="s">
        <v>10</v>
      </c>
      <c r="F10" s="22">
        <f>F9*11%</f>
        <v>7689000</v>
      </c>
    </row>
    <row r="11" spans="1:9">
      <c r="E11" s="20" t="s">
        <v>11</v>
      </c>
      <c r="F11" s="22">
        <f>F9*1.5%</f>
        <v>1048500</v>
      </c>
      <c r="H11" s="32"/>
    </row>
    <row r="12" spans="1:9">
      <c r="E12" s="20" t="s">
        <v>12</v>
      </c>
      <c r="F12" s="22">
        <f>F9-F10-F11</f>
        <v>61162500</v>
      </c>
    </row>
    <row r="13" spans="1:9" ht="14.25" customHeight="1"/>
    <row r="14" spans="1:9" ht="14.25" customHeight="1">
      <c r="F14" s="22"/>
      <c r="G14" s="25"/>
    </row>
    <row r="15" spans="1:9" ht="14.25" customHeight="1">
      <c r="F15" s="22"/>
    </row>
    <row r="16" spans="1:9" ht="14.25" customHeight="1">
      <c r="F16" s="22"/>
      <c r="I16" s="26"/>
    </row>
    <row r="17" spans="5:7" ht="14.25" customHeight="1">
      <c r="F17" s="22"/>
      <c r="G17" s="25"/>
    </row>
    <row r="18" spans="5:7" ht="14.25" customHeight="1">
      <c r="E18" s="27"/>
      <c r="F18" s="28"/>
    </row>
    <row r="19" spans="5:7" ht="14.25" customHeight="1"/>
    <row r="20" spans="5:7" ht="14.25" customHeight="1">
      <c r="F20" s="22"/>
    </row>
    <row r="21" spans="5:7" ht="14.25" customHeight="1">
      <c r="F21" s="22"/>
    </row>
    <row r="22" spans="5:7" ht="14.25" customHeight="1">
      <c r="F22" s="29"/>
    </row>
    <row r="23" spans="5:7" ht="14.25" customHeight="1">
      <c r="E23" s="30"/>
      <c r="F23" s="31"/>
    </row>
    <row r="24" spans="5:7" ht="14.25" customHeight="1"/>
    <row r="25" spans="5:7" ht="14.25" customHeight="1"/>
    <row r="26" spans="5:7" ht="14.25" customHeight="1"/>
    <row r="27" spans="5:7" ht="14.25" customHeight="1"/>
    <row r="28" spans="5:7" ht="14.25" customHeight="1"/>
    <row r="29" spans="5:7" ht="14.25" customHeight="1"/>
    <row r="30" spans="5:7" ht="14.25" customHeight="1"/>
    <row r="31" spans="5:7" ht="14.25" customHeight="1"/>
    <row r="32" spans="5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19C4-CC07-40DE-9AB2-DA96763D1EA1}">
  <dimension ref="A1:K100"/>
  <sheetViews>
    <sheetView tabSelected="1" workbookViewId="0">
      <selection activeCell="F21" sqref="F21"/>
    </sheetView>
  </sheetViews>
  <sheetFormatPr defaultColWidth="14.42578125" defaultRowHeight="15" customHeight="1"/>
  <cols>
    <col min="1" max="1" width="3.28515625" style="33" customWidth="1"/>
    <col min="2" max="2" width="11.85546875" style="33" customWidth="1"/>
    <col min="3" max="3" width="32.28515625" style="33" customWidth="1"/>
    <col min="4" max="4" width="4.28515625" style="33" customWidth="1"/>
    <col min="5" max="6" width="15.140625" style="33" customWidth="1"/>
    <col min="7" max="7" width="8.7109375" style="33" customWidth="1"/>
    <col min="8" max="8" width="12.5703125" style="33" customWidth="1"/>
    <col min="9" max="9" width="14.140625" style="33" customWidth="1"/>
    <col min="10" max="10" width="11.42578125" style="33" customWidth="1"/>
    <col min="11" max="11" width="10" style="33" customWidth="1"/>
    <col min="12" max="16384" width="14.42578125" style="33"/>
  </cols>
  <sheetData>
    <row r="1" spans="1:11" ht="14.25" customHeight="1">
      <c r="A1" s="33" t="s">
        <v>0</v>
      </c>
      <c r="B1" s="33" t="s">
        <v>1</v>
      </c>
      <c r="C1" s="33" t="s">
        <v>2</v>
      </c>
      <c r="D1" s="33" t="s">
        <v>27</v>
      </c>
      <c r="E1" s="33" t="s">
        <v>4</v>
      </c>
      <c r="F1" s="33" t="s">
        <v>28</v>
      </c>
      <c r="I1" s="34" t="s">
        <v>6</v>
      </c>
      <c r="J1" s="33" t="s">
        <v>9</v>
      </c>
    </row>
    <row r="2" spans="1:11" ht="14.25" customHeight="1">
      <c r="A2" s="35">
        <v>1</v>
      </c>
      <c r="B2" s="35" t="s">
        <v>15</v>
      </c>
      <c r="C2" s="36" t="s">
        <v>29</v>
      </c>
      <c r="D2" s="33">
        <v>1</v>
      </c>
      <c r="E2" s="34">
        <v>16750000</v>
      </c>
      <c r="F2" s="34">
        <f>E2</f>
        <v>16750000</v>
      </c>
      <c r="I2" s="34">
        <v>7800000</v>
      </c>
      <c r="J2" s="34">
        <f>I2+D2</f>
        <v>7800001</v>
      </c>
      <c r="K2" s="33" t="s">
        <v>30</v>
      </c>
    </row>
    <row r="3" spans="1:11" ht="14.25" customHeight="1">
      <c r="A3" s="35">
        <v>2</v>
      </c>
      <c r="B3" s="35" t="s">
        <v>15</v>
      </c>
      <c r="C3" s="36" t="s">
        <v>16</v>
      </c>
      <c r="D3" s="33">
        <v>2</v>
      </c>
      <c r="E3" s="34">
        <v>17500000</v>
      </c>
      <c r="F3" s="34">
        <f>E3*D3</f>
        <v>35000000</v>
      </c>
      <c r="I3" s="34">
        <v>9500000</v>
      </c>
      <c r="J3" s="34">
        <f>I3*D3</f>
        <v>19000000</v>
      </c>
      <c r="K3" s="33" t="s">
        <v>31</v>
      </c>
    </row>
    <row r="4" spans="1:11" ht="14.25" customHeight="1">
      <c r="E4" s="33" t="s">
        <v>9</v>
      </c>
      <c r="F4" s="34">
        <f>F2+F3</f>
        <v>51750000</v>
      </c>
      <c r="J4" s="34">
        <f>J3+J2</f>
        <v>26800001</v>
      </c>
    </row>
    <row r="5" spans="1:11" ht="14.25" customHeight="1">
      <c r="E5" s="33" t="s">
        <v>10</v>
      </c>
      <c r="F5" s="34">
        <f>F4*11%</f>
        <v>5692500</v>
      </c>
    </row>
    <row r="6" spans="1:11" ht="14.25" customHeight="1">
      <c r="E6" s="33" t="s">
        <v>11</v>
      </c>
      <c r="F6" s="34">
        <f>F4*1.5%</f>
        <v>776250</v>
      </c>
    </row>
    <row r="7" spans="1:11" ht="14.25" customHeight="1">
      <c r="E7" s="33" t="s">
        <v>12</v>
      </c>
      <c r="F7" s="34">
        <f>F4-F5-F17</f>
        <v>46057500</v>
      </c>
    </row>
    <row r="8" spans="1:11" ht="14.25" customHeight="1"/>
    <row r="9" spans="1:11" ht="14.25" customHeight="1">
      <c r="E9" s="33" t="s">
        <v>32</v>
      </c>
      <c r="F9" s="34">
        <v>7000000</v>
      </c>
    </row>
    <row r="10" spans="1:11" ht="14.25" customHeight="1">
      <c r="E10" s="33" t="s">
        <v>33</v>
      </c>
      <c r="F10" s="34">
        <v>500000</v>
      </c>
    </row>
    <row r="11" spans="1:11" ht="14.25" customHeight="1">
      <c r="E11" s="37" t="s">
        <v>34</v>
      </c>
      <c r="F11" s="34"/>
      <c r="G11" s="37"/>
    </row>
    <row r="12" spans="1:11" ht="14.25" customHeight="1">
      <c r="F12" s="34"/>
      <c r="G12" s="38"/>
      <c r="I12" s="34"/>
    </row>
    <row r="13" spans="1:11" ht="14.25" customHeight="1">
      <c r="E13" s="33" t="s">
        <v>35</v>
      </c>
      <c r="F13" s="34">
        <f>F7-J4-F9-F10</f>
        <v>11757499</v>
      </c>
    </row>
    <row r="14" spans="1:11" ht="14.25" customHeight="1"/>
    <row r="15" spans="1:11" ht="14.25" customHeight="1"/>
    <row r="16" spans="1:1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Muhhamad Rayyan</cp:lastModifiedBy>
  <dcterms:created xsi:type="dcterms:W3CDTF">2025-09-01T03:05:53Z</dcterms:created>
  <dcterms:modified xsi:type="dcterms:W3CDTF">2026-07-28T04:53:28Z</dcterms:modified>
</cp:coreProperties>
</file>